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role_range_vector" sheetId="1" r:id="rId1"/>
    <sheet name="ability_limit" sheetId="2" r:id="rId2"/>
    <sheet name="uniform_data" sheetId="3" r:id="rId3"/>
  </sheets>
  <definedNames>
    <definedName name="_xlnm._FilterDatabase" localSheetId="2" hidden="1">uniform_data!$F$2:$L$41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<sst xmlns="http://schemas.openxmlformats.org/spreadsheetml/2006/main" count="114" uniqueCount="37">
  <si>
    <t>product_1</t>
  </si>
  <si>
    <t>product_2</t>
  </si>
  <si>
    <t>product_3</t>
  </si>
  <si>
    <t>product_4</t>
  </si>
  <si>
    <t>product_5</t>
  </si>
  <si>
    <t>user_1</t>
  </si>
  <si>
    <t>user_2</t>
  </si>
  <si>
    <t>user_3</t>
  </si>
  <si>
    <t>user_4</t>
  </si>
  <si>
    <t>producer_1</t>
  </si>
  <si>
    <t>producer_2</t>
  </si>
  <si>
    <t>producer_3</t>
  </si>
  <si>
    <t>producer_4</t>
  </si>
  <si>
    <t>producer_5</t>
  </si>
  <si>
    <t>producer_6</t>
  </si>
  <si>
    <t>producer_7</t>
  </si>
  <si>
    <t>producer_8</t>
  </si>
  <si>
    <t>Shipping times</t>
  </si>
  <si>
    <t>Shipping costs</t>
  </si>
  <si>
    <t>Manufacturing lead time</t>
  </si>
  <si>
    <t>Manufacturing costs</t>
  </si>
  <si>
    <t>Quality Score</t>
  </si>
  <si>
    <t>Product</t>
  </si>
  <si>
    <t>Supplier</t>
  </si>
  <si>
    <t>Product 1</t>
  </si>
  <si>
    <t>Supplier 1</t>
  </si>
  <si>
    <t>Product 2</t>
  </si>
  <si>
    <t>Product 3</t>
  </si>
  <si>
    <t>Product 4</t>
  </si>
  <si>
    <t>Product 5</t>
  </si>
  <si>
    <t>Supplier 2</t>
  </si>
  <si>
    <t>Supplier 3</t>
  </si>
  <si>
    <t>Supplier 4</t>
  </si>
  <si>
    <t>Supplier 5</t>
  </si>
  <si>
    <t>Supplier 6</t>
  </si>
  <si>
    <t>Supplier 7</t>
  </si>
  <si>
    <t>Supplier 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</si>
</sst>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190" zoomScaleNormal="190" workbookViewId="0">
      <selection activeCell="D20" sqref="D20"/>
    </sheetView>
  </sheetViews>
  <sheetFormatPr defaultColWidth="9" defaultRowHeight="13.5" outlineLevelRow="4" outlineLevelCol="5"/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s="2">
        <v>14</v>
      </c>
      <c r="C2" s="2">
        <v>49</v>
      </c>
      <c r="D2" s="2">
        <v>10</v>
      </c>
      <c r="E2" s="2">
        <v>25</v>
      </c>
      <c r="F2" s="2">
        <v>17</v>
      </c>
    </row>
    <row r="3" spans="1:6">
      <c r="A3" s="1" t="s">
        <v>6</v>
      </c>
      <c r="B3" s="2">
        <v>11</v>
      </c>
      <c r="C3" s="2">
        <v>35</v>
      </c>
      <c r="D3" s="2">
        <v>34</v>
      </c>
      <c r="E3" s="2">
        <v>18</v>
      </c>
      <c r="F3" s="2">
        <v>50</v>
      </c>
    </row>
    <row r="4" spans="1:6">
      <c r="A4" s="1" t="s">
        <v>7</v>
      </c>
      <c r="B4" s="2">
        <v>32</v>
      </c>
      <c r="C4" s="2">
        <v>31</v>
      </c>
      <c r="D4" s="2">
        <v>41</v>
      </c>
      <c r="E4" s="2">
        <v>29</v>
      </c>
      <c r="F4" s="2">
        <v>22</v>
      </c>
    </row>
    <row r="5" spans="1:6">
      <c r="A5" s="1" t="s">
        <v>8</v>
      </c>
      <c r="B5" s="2">
        <v>48</v>
      </c>
      <c r="C5" s="2">
        <v>35</v>
      </c>
      <c r="D5" s="2">
        <v>17</v>
      </c>
      <c r="E5" s="2">
        <v>19</v>
      </c>
      <c r="F5" s="2">
        <v>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190" zoomScaleNormal="190" workbookViewId="0">
      <selection activeCell="M4" sqref="M4"/>
    </sheetView>
  </sheetViews>
  <sheetFormatPr defaultColWidth="9" defaultRowHeight="13.5" outlineLevelCol="5"/>
  <cols>
    <col min="1" max="1" width="21.9469026548673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9</v>
      </c>
      <c r="B2" s="2">
        <v>83</v>
      </c>
      <c r="C2" s="2">
        <v>98</v>
      </c>
      <c r="D2" s="2">
        <v>98</v>
      </c>
      <c r="E2" s="2">
        <v>98</v>
      </c>
      <c r="F2" s="2">
        <v>77</v>
      </c>
    </row>
    <row r="3" spans="1:6">
      <c r="A3" s="1" t="s">
        <v>10</v>
      </c>
      <c r="B3" s="2">
        <v>85</v>
      </c>
      <c r="C3" s="2">
        <v>79</v>
      </c>
      <c r="D3" s="2">
        <v>89</v>
      </c>
      <c r="E3" s="2">
        <v>97</v>
      </c>
      <c r="F3" s="2">
        <v>84</v>
      </c>
    </row>
    <row r="4" spans="1:6">
      <c r="A4" s="1" t="s">
        <v>11</v>
      </c>
      <c r="B4" s="2">
        <v>90</v>
      </c>
      <c r="C4" s="2">
        <v>92</v>
      </c>
      <c r="D4" s="2">
        <v>81</v>
      </c>
      <c r="E4" s="2">
        <v>82</v>
      </c>
      <c r="F4" s="2">
        <v>75</v>
      </c>
    </row>
    <row r="5" spans="1:6">
      <c r="A5" s="1" t="s">
        <v>12</v>
      </c>
      <c r="B5" s="2">
        <v>88</v>
      </c>
      <c r="C5" s="2">
        <v>96</v>
      </c>
      <c r="D5" s="2">
        <v>75</v>
      </c>
      <c r="E5" s="2">
        <v>96</v>
      </c>
      <c r="F5" s="2">
        <v>81</v>
      </c>
    </row>
    <row r="6" spans="1:6">
      <c r="A6" s="1" t="s">
        <v>13</v>
      </c>
      <c r="B6" s="2">
        <v>82</v>
      </c>
      <c r="C6" s="2">
        <v>96</v>
      </c>
      <c r="D6" s="2">
        <v>77</v>
      </c>
      <c r="E6" s="2">
        <v>79</v>
      </c>
      <c r="F6" s="2">
        <v>91</v>
      </c>
    </row>
    <row r="7" spans="1:6">
      <c r="A7" s="1" t="s">
        <v>14</v>
      </c>
      <c r="B7" s="2">
        <v>88</v>
      </c>
      <c r="C7" s="2">
        <v>83</v>
      </c>
      <c r="D7" s="2">
        <v>82</v>
      </c>
      <c r="E7" s="2">
        <v>87</v>
      </c>
      <c r="F7" s="2">
        <v>94</v>
      </c>
    </row>
    <row r="8" spans="1:6">
      <c r="A8" s="1" t="s">
        <v>15</v>
      </c>
      <c r="B8" s="2">
        <v>79</v>
      </c>
      <c r="C8" s="2">
        <v>87</v>
      </c>
      <c r="D8" s="2">
        <v>78</v>
      </c>
      <c r="E8" s="2">
        <v>92</v>
      </c>
      <c r="F8" s="2">
        <v>82</v>
      </c>
    </row>
    <row r="9" spans="1:6">
      <c r="A9" s="1" t="s">
        <v>16</v>
      </c>
      <c r="B9" s="2">
        <v>100</v>
      </c>
      <c r="C9" s="2">
        <v>80</v>
      </c>
      <c r="D9" s="2">
        <v>83</v>
      </c>
      <c r="E9" s="2">
        <v>100</v>
      </c>
      <c r="F9" s="2">
        <v>75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41"/>
  <sheetViews>
    <sheetView zoomScale="160" zoomScaleNormal="160" workbookViewId="0">
      <selection activeCell="H41" sqref="H41:L41"/>
    </sheetView>
  </sheetViews>
  <sheetFormatPr defaultColWidth="9" defaultRowHeight="13.5"/>
  <cols>
    <col min="6" max="6" width="16.2654867256637" customWidth="1"/>
    <col min="7" max="7" width="18.3274336283186" customWidth="1"/>
    <col min="8" max="9" width="22.8407079646018" customWidth="1"/>
    <col min="10" max="10" width="28.8761061946903" customWidth="1"/>
    <col min="11" max="11" width="19.8495575221239" customWidth="1"/>
    <col min="12" max="12" width="18.9203539823009" customWidth="1"/>
  </cols>
  <sheetData>
    <row r="1" spans="1:1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20</v>
      </c>
      <c r="I1" s="1" t="s">
        <v>21</v>
      </c>
      <c r="J1" s="1" t="s">
        <v>19</v>
      </c>
      <c r="K1" s="1" t="s">
        <v>18</v>
      </c>
      <c r="L1" s="1" t="s">
        <v>17</v>
      </c>
    </row>
    <row r="2" spans="1:12">
      <c r="A2">
        <v>6.66697961714384</v>
      </c>
      <c r="B2">
        <v>10.3243495932822</v>
      </c>
      <c r="C2">
        <v>15.8448733106759</v>
      </c>
      <c r="D2">
        <v>131.040242536154</v>
      </c>
      <c r="E2">
        <v>92.9117144475419</v>
      </c>
      <c r="F2" t="s">
        <v>24</v>
      </c>
      <c r="G2" t="s">
        <v>25</v>
      </c>
      <c r="H2" s="2">
        <f>ROUND(D2,2)</f>
        <v>131.04</v>
      </c>
      <c r="I2" s="2">
        <f>ROUND(E2,2)</f>
        <v>92.91</v>
      </c>
      <c r="J2" s="2">
        <f>ROUND(C2,2)</f>
        <v>15.84</v>
      </c>
      <c r="K2" s="2">
        <f>ROUND(B2,2)</f>
        <v>10.32</v>
      </c>
      <c r="L2" s="2">
        <f>ROUND(A2,2)</f>
        <v>6.67</v>
      </c>
    </row>
    <row r="3" hidden="1" spans="1:12">
      <c r="A3">
        <v>3.78458904582644</v>
      </c>
      <c r="B3">
        <v>51.8710074108718</v>
      </c>
      <c r="C3">
        <v>10.2202223541645</v>
      </c>
      <c r="D3">
        <v>66.2822194125767</v>
      </c>
      <c r="E3">
        <v>92.2345226015503</v>
      </c>
      <c r="F3" t="s">
        <v>26</v>
      </c>
      <c r="G3" t="s">
        <v>25</v>
      </c>
      <c r="H3" s="2">
        <f t="shared" ref="H3:H41" si="0">ROUND(D3,2)</f>
        <v>66.28</v>
      </c>
      <c r="I3" s="2">
        <f t="shared" ref="I3:I41" si="1">ROUND(E3,2)</f>
        <v>92.23</v>
      </c>
      <c r="J3" s="2">
        <f t="shared" ref="J3:J41" si="2">ROUND(C3,2)</f>
        <v>10.22</v>
      </c>
      <c r="K3" s="2">
        <f t="shared" ref="K3:K41" si="3">ROUND(B3,2)</f>
        <v>51.87</v>
      </c>
      <c r="L3" s="2">
        <f t="shared" ref="L3:L41" si="4">ROUND(A3,2)</f>
        <v>3.78</v>
      </c>
    </row>
    <row r="4" hidden="1" spans="1:12">
      <c r="A4">
        <v>2.15677017374295</v>
      </c>
      <c r="B4">
        <v>40.3165826584929</v>
      </c>
      <c r="C4">
        <v>7.14837515986528</v>
      </c>
      <c r="D4">
        <v>147.559871962282</v>
      </c>
      <c r="E4">
        <v>95.5435130819901</v>
      </c>
      <c r="F4" t="s">
        <v>27</v>
      </c>
      <c r="G4" t="s">
        <v>25</v>
      </c>
      <c r="H4" s="2">
        <f t="shared" si="0"/>
        <v>147.56</v>
      </c>
      <c r="I4" s="2">
        <f t="shared" si="1"/>
        <v>95.54</v>
      </c>
      <c r="J4" s="2">
        <f t="shared" si="2"/>
        <v>7.15</v>
      </c>
      <c r="K4" s="2">
        <f t="shared" si="3"/>
        <v>40.32</v>
      </c>
      <c r="L4" s="2">
        <f t="shared" si="4"/>
        <v>2.16</v>
      </c>
    </row>
    <row r="5" hidden="1" spans="1:12">
      <c r="A5">
        <v>4.49136926127995</v>
      </c>
      <c r="B5">
        <v>58.1859471564968</v>
      </c>
      <c r="C5">
        <v>3.61153812421444</v>
      </c>
      <c r="D5">
        <v>142.394522450166</v>
      </c>
      <c r="E5">
        <v>96.781714168276</v>
      </c>
      <c r="F5" t="s">
        <v>28</v>
      </c>
      <c r="G5" t="s">
        <v>25</v>
      </c>
      <c r="H5" s="2">
        <f t="shared" si="0"/>
        <v>142.39</v>
      </c>
      <c r="I5" s="2">
        <f t="shared" si="1"/>
        <v>96.78</v>
      </c>
      <c r="J5" s="2">
        <f t="shared" si="2"/>
        <v>3.61</v>
      </c>
      <c r="K5" s="2">
        <f t="shared" si="3"/>
        <v>58.19</v>
      </c>
      <c r="L5" s="2">
        <f t="shared" si="4"/>
        <v>4.49</v>
      </c>
    </row>
    <row r="6" hidden="1" spans="1:12">
      <c r="A6">
        <v>4.72050526104176</v>
      </c>
      <c r="B6">
        <v>94.311243794297</v>
      </c>
      <c r="C6">
        <v>9.25340922578393</v>
      </c>
      <c r="D6">
        <v>87.2098435701759</v>
      </c>
      <c r="E6">
        <v>98.8367041517436</v>
      </c>
      <c r="F6" t="s">
        <v>29</v>
      </c>
      <c r="G6" t="s">
        <v>25</v>
      </c>
      <c r="H6" s="2">
        <f t="shared" si="0"/>
        <v>87.21</v>
      </c>
      <c r="I6" s="2">
        <f t="shared" si="1"/>
        <v>98.84</v>
      </c>
      <c r="J6" s="2">
        <f t="shared" si="2"/>
        <v>9.25</v>
      </c>
      <c r="K6" s="2">
        <f t="shared" si="3"/>
        <v>94.31</v>
      </c>
      <c r="L6" s="2">
        <f t="shared" si="4"/>
        <v>4.72</v>
      </c>
    </row>
    <row r="7" hidden="1" spans="1:12">
      <c r="A7">
        <v>5.10534410477904</v>
      </c>
      <c r="B7">
        <v>88.8899184947386</v>
      </c>
      <c r="C7">
        <v>19.4855383955383</v>
      </c>
      <c r="D7">
        <v>107.675982051832</v>
      </c>
      <c r="E7">
        <v>94.676682686328</v>
      </c>
      <c r="F7" t="s">
        <v>24</v>
      </c>
      <c r="G7" t="s">
        <v>30</v>
      </c>
      <c r="H7">
        <f t="shared" si="0"/>
        <v>107.68</v>
      </c>
      <c r="I7">
        <f t="shared" si="1"/>
        <v>94.68</v>
      </c>
      <c r="J7">
        <f t="shared" si="2"/>
        <v>19.49</v>
      </c>
      <c r="K7">
        <f t="shared" si="3"/>
        <v>88.89</v>
      </c>
      <c r="L7">
        <f t="shared" si="4"/>
        <v>5.11</v>
      </c>
    </row>
    <row r="8" hidden="1" spans="1:12">
      <c r="A8">
        <v>1.62062533011999</v>
      </c>
      <c r="B8">
        <v>77.6866924277896</v>
      </c>
      <c r="C8">
        <v>16.0603470230103</v>
      </c>
      <c r="D8">
        <v>124.367302201794</v>
      </c>
      <c r="E8">
        <v>96.5022688562225</v>
      </c>
      <c r="F8" t="s">
        <v>26</v>
      </c>
      <c r="G8" t="s">
        <v>30</v>
      </c>
      <c r="H8">
        <f t="shared" si="0"/>
        <v>124.37</v>
      </c>
      <c r="I8">
        <f t="shared" si="1"/>
        <v>96.5</v>
      </c>
      <c r="J8">
        <f t="shared" si="2"/>
        <v>16.06</v>
      </c>
      <c r="K8">
        <f t="shared" si="3"/>
        <v>77.69</v>
      </c>
      <c r="L8">
        <f t="shared" si="4"/>
        <v>1.62</v>
      </c>
    </row>
    <row r="9" hidden="1" spans="1:12">
      <c r="A9">
        <v>5.4728545977066</v>
      </c>
      <c r="B9">
        <v>51.8496560305311</v>
      </c>
      <c r="C9">
        <v>7.20319450487048</v>
      </c>
      <c r="D9">
        <v>118.901013983021</v>
      </c>
      <c r="E9">
        <v>96.6932199566127</v>
      </c>
      <c r="F9" t="s">
        <v>27</v>
      </c>
      <c r="G9" t="s">
        <v>30</v>
      </c>
      <c r="H9">
        <f t="shared" si="0"/>
        <v>118.9</v>
      </c>
      <c r="I9">
        <f t="shared" si="1"/>
        <v>96.69</v>
      </c>
      <c r="J9">
        <f t="shared" si="2"/>
        <v>7.2</v>
      </c>
      <c r="K9">
        <f t="shared" si="3"/>
        <v>51.85</v>
      </c>
      <c r="L9">
        <f t="shared" si="4"/>
        <v>5.47</v>
      </c>
    </row>
    <row r="10" hidden="1" spans="1:12">
      <c r="A10">
        <v>2.69187442044542</v>
      </c>
      <c r="B10">
        <v>73.351058971894</v>
      </c>
      <c r="C10">
        <v>3.00743962861729</v>
      </c>
      <c r="D10">
        <v>114.300924121467</v>
      </c>
      <c r="E10">
        <v>90.424240486572</v>
      </c>
      <c r="F10" t="s">
        <v>28</v>
      </c>
      <c r="G10" t="s">
        <v>30</v>
      </c>
      <c r="H10">
        <f t="shared" si="0"/>
        <v>114.3</v>
      </c>
      <c r="I10">
        <f t="shared" si="1"/>
        <v>90.42</v>
      </c>
      <c r="J10">
        <f t="shared" si="2"/>
        <v>3.01</v>
      </c>
      <c r="K10">
        <f t="shared" si="3"/>
        <v>73.35</v>
      </c>
      <c r="L10">
        <f t="shared" si="4"/>
        <v>2.69</v>
      </c>
    </row>
    <row r="11" hidden="1" spans="1:12">
      <c r="A11">
        <v>5.5205475228657</v>
      </c>
      <c r="B11">
        <v>13.4849212090761</v>
      </c>
      <c r="C11">
        <v>5.18088154692807</v>
      </c>
      <c r="D11">
        <v>98.1293060026091</v>
      </c>
      <c r="E11">
        <v>95.8593931302162</v>
      </c>
      <c r="F11" t="s">
        <v>29</v>
      </c>
      <c r="G11" t="s">
        <v>30</v>
      </c>
      <c r="H11">
        <f t="shared" si="0"/>
        <v>98.13</v>
      </c>
      <c r="I11">
        <f t="shared" si="1"/>
        <v>95.86</v>
      </c>
      <c r="J11">
        <f t="shared" si="2"/>
        <v>5.18</v>
      </c>
      <c r="K11">
        <f t="shared" si="3"/>
        <v>13.48</v>
      </c>
      <c r="L11">
        <f t="shared" si="4"/>
        <v>5.52</v>
      </c>
    </row>
    <row r="12" hidden="1" spans="1:12">
      <c r="A12">
        <v>5.7562337774243</v>
      </c>
      <c r="B12">
        <v>71.1731149086899</v>
      </c>
      <c r="C12">
        <v>13.6289308576238</v>
      </c>
      <c r="D12">
        <v>131.809077462781</v>
      </c>
      <c r="E12">
        <v>95.4527763307448</v>
      </c>
      <c r="F12" t="s">
        <v>24</v>
      </c>
      <c r="G12" t="s">
        <v>31</v>
      </c>
      <c r="H12">
        <f t="shared" si="0"/>
        <v>131.81</v>
      </c>
      <c r="I12">
        <f t="shared" si="1"/>
        <v>95.45</v>
      </c>
      <c r="J12">
        <f t="shared" si="2"/>
        <v>13.63</v>
      </c>
      <c r="K12">
        <f t="shared" si="3"/>
        <v>71.17</v>
      </c>
      <c r="L12">
        <f t="shared" si="4"/>
        <v>5.76</v>
      </c>
    </row>
    <row r="13" hidden="1" spans="1:12">
      <c r="A13">
        <v>4.76440357767616</v>
      </c>
      <c r="B13">
        <v>47.708165717065</v>
      </c>
      <c r="C13">
        <v>4.67049905092115</v>
      </c>
      <c r="D13">
        <v>60.8246715632549</v>
      </c>
      <c r="E13">
        <v>93.6828966758678</v>
      </c>
      <c r="F13" t="s">
        <v>26</v>
      </c>
      <c r="G13" t="s">
        <v>31</v>
      </c>
      <c r="H13">
        <f t="shared" si="0"/>
        <v>60.82</v>
      </c>
      <c r="I13">
        <f t="shared" si="1"/>
        <v>93.68</v>
      </c>
      <c r="J13">
        <f t="shared" si="2"/>
        <v>4.67</v>
      </c>
      <c r="K13">
        <f t="shared" si="3"/>
        <v>47.71</v>
      </c>
      <c r="L13">
        <f t="shared" si="4"/>
        <v>4.76</v>
      </c>
    </row>
    <row r="14" hidden="1" spans="1:12">
      <c r="A14">
        <v>3.66093306267041</v>
      </c>
      <c r="B14">
        <v>91.2572614523358</v>
      </c>
      <c r="C14">
        <v>3.31457422711017</v>
      </c>
      <c r="D14">
        <v>131.526804615202</v>
      </c>
      <c r="E14">
        <v>92.9706730671112</v>
      </c>
      <c r="F14" t="s">
        <v>27</v>
      </c>
      <c r="G14" t="s">
        <v>31</v>
      </c>
      <c r="H14">
        <f t="shared" si="0"/>
        <v>131.53</v>
      </c>
      <c r="I14">
        <f t="shared" si="1"/>
        <v>92.97</v>
      </c>
      <c r="J14">
        <f t="shared" si="2"/>
        <v>3.31</v>
      </c>
      <c r="K14">
        <f t="shared" si="3"/>
        <v>91.26</v>
      </c>
      <c r="L14">
        <f t="shared" si="4"/>
        <v>3.66</v>
      </c>
    </row>
    <row r="15" hidden="1" spans="1:12">
      <c r="A15">
        <v>6.78079211444479</v>
      </c>
      <c r="B15">
        <v>95.0645469101211</v>
      </c>
      <c r="C15">
        <v>11.4039997553605</v>
      </c>
      <c r="D15">
        <v>73.5849809058913</v>
      </c>
      <c r="E15">
        <v>95.7293987697939</v>
      </c>
      <c r="F15" t="s">
        <v>28</v>
      </c>
      <c r="G15" t="s">
        <v>31</v>
      </c>
      <c r="H15">
        <f t="shared" si="0"/>
        <v>73.58</v>
      </c>
      <c r="I15">
        <f t="shared" si="1"/>
        <v>95.73</v>
      </c>
      <c r="J15">
        <f t="shared" si="2"/>
        <v>11.4</v>
      </c>
      <c r="K15">
        <f t="shared" si="3"/>
        <v>95.06</v>
      </c>
      <c r="L15">
        <f t="shared" si="4"/>
        <v>6.78</v>
      </c>
    </row>
    <row r="16" hidden="1" spans="1:12">
      <c r="A16">
        <v>6.38239932231731</v>
      </c>
      <c r="B16">
        <v>97.9346116578426</v>
      </c>
      <c r="C16">
        <v>6.74455604509597</v>
      </c>
      <c r="D16">
        <v>53.3716528192897</v>
      </c>
      <c r="E16">
        <v>93.2028664636238</v>
      </c>
      <c r="F16" t="s">
        <v>29</v>
      </c>
      <c r="G16" t="s">
        <v>31</v>
      </c>
      <c r="H16">
        <f t="shared" si="0"/>
        <v>53.37</v>
      </c>
      <c r="I16">
        <f t="shared" si="1"/>
        <v>93.2</v>
      </c>
      <c r="J16">
        <f t="shared" si="2"/>
        <v>6.74</v>
      </c>
      <c r="K16">
        <f t="shared" si="3"/>
        <v>97.93</v>
      </c>
      <c r="L16">
        <f t="shared" si="4"/>
        <v>6.38</v>
      </c>
    </row>
    <row r="17" hidden="1" spans="1:12">
      <c r="A17">
        <v>2.18082572847115</v>
      </c>
      <c r="B17">
        <v>62.2606903555753</v>
      </c>
      <c r="C17">
        <v>8.05486530511825</v>
      </c>
      <c r="D17">
        <v>54.4121111392872</v>
      </c>
      <c r="E17">
        <v>93.4209420147667</v>
      </c>
      <c r="F17" t="s">
        <v>24</v>
      </c>
      <c r="G17" t="s">
        <v>32</v>
      </c>
      <c r="H17">
        <f t="shared" si="0"/>
        <v>54.41</v>
      </c>
      <c r="I17">
        <f t="shared" si="1"/>
        <v>93.42</v>
      </c>
      <c r="J17">
        <f t="shared" si="2"/>
        <v>8.05</v>
      </c>
      <c r="K17">
        <f t="shared" si="3"/>
        <v>62.26</v>
      </c>
      <c r="L17">
        <f t="shared" si="4"/>
        <v>2.18</v>
      </c>
    </row>
    <row r="18" hidden="1" spans="1:12">
      <c r="A18">
        <v>4.57570679912554</v>
      </c>
      <c r="B18">
        <v>97.782021218442</v>
      </c>
      <c r="C18">
        <v>12.717329029187</v>
      </c>
      <c r="D18">
        <v>66.9676720541762</v>
      </c>
      <c r="E18">
        <v>93.818329635744</v>
      </c>
      <c r="F18" t="s">
        <v>26</v>
      </c>
      <c r="G18" t="s">
        <v>32</v>
      </c>
      <c r="H18">
        <f t="shared" si="0"/>
        <v>66.97</v>
      </c>
      <c r="I18">
        <f t="shared" si="1"/>
        <v>93.82</v>
      </c>
      <c r="J18">
        <f t="shared" si="2"/>
        <v>12.72</v>
      </c>
      <c r="K18">
        <f t="shared" si="3"/>
        <v>97.78</v>
      </c>
      <c r="L18">
        <f t="shared" si="4"/>
        <v>4.58</v>
      </c>
    </row>
    <row r="19" hidden="1" spans="1:12">
      <c r="A19">
        <v>4.44026167288608</v>
      </c>
      <c r="B19">
        <v>62.8556400248692</v>
      </c>
      <c r="C19">
        <v>11.4668074783339</v>
      </c>
      <c r="D19">
        <v>73.7460025231968</v>
      </c>
      <c r="E19">
        <v>91.2056598649902</v>
      </c>
      <c r="F19" t="s">
        <v>27</v>
      </c>
      <c r="G19" t="s">
        <v>32</v>
      </c>
      <c r="H19">
        <f t="shared" si="0"/>
        <v>73.75</v>
      </c>
      <c r="I19">
        <f t="shared" si="1"/>
        <v>91.21</v>
      </c>
      <c r="J19">
        <f t="shared" si="2"/>
        <v>11.47</v>
      </c>
      <c r="K19">
        <f t="shared" si="3"/>
        <v>62.86</v>
      </c>
      <c r="L19">
        <f t="shared" si="4"/>
        <v>4.44</v>
      </c>
    </row>
    <row r="20" hidden="1" spans="1:12">
      <c r="A20">
        <v>5.22969612506987</v>
      </c>
      <c r="B20">
        <v>39.8216201384815</v>
      </c>
      <c r="C20">
        <v>8.73381389283195</v>
      </c>
      <c r="D20">
        <v>143.990865115613</v>
      </c>
      <c r="E20">
        <v>91.6460570137087</v>
      </c>
      <c r="F20" t="s">
        <v>28</v>
      </c>
      <c r="G20" t="s">
        <v>32</v>
      </c>
      <c r="H20">
        <f t="shared" si="0"/>
        <v>143.99</v>
      </c>
      <c r="I20">
        <f t="shared" si="1"/>
        <v>91.65</v>
      </c>
      <c r="J20">
        <f t="shared" si="2"/>
        <v>8.73</v>
      </c>
      <c r="K20">
        <f t="shared" si="3"/>
        <v>39.82</v>
      </c>
      <c r="L20">
        <f t="shared" si="4"/>
        <v>5.23</v>
      </c>
    </row>
    <row r="21" hidden="1" spans="1:12">
      <c r="A21">
        <v>6.57557211040496</v>
      </c>
      <c r="B21">
        <v>52.7735611697837</v>
      </c>
      <c r="C21">
        <v>7.7916013853481</v>
      </c>
      <c r="D21">
        <v>113.034961621595</v>
      </c>
      <c r="E21">
        <v>91.6225976259035</v>
      </c>
      <c r="F21" t="s">
        <v>29</v>
      </c>
      <c r="G21" t="s">
        <v>32</v>
      </c>
      <c r="H21">
        <f t="shared" si="0"/>
        <v>113.03</v>
      </c>
      <c r="I21">
        <f t="shared" si="1"/>
        <v>91.62</v>
      </c>
      <c r="J21">
        <f t="shared" si="2"/>
        <v>7.79</v>
      </c>
      <c r="K21">
        <f t="shared" si="3"/>
        <v>52.77</v>
      </c>
      <c r="L21">
        <f t="shared" si="4"/>
        <v>6.58</v>
      </c>
    </row>
    <row r="22" hidden="1" spans="1:12">
      <c r="A22">
        <v>1.30737897332572</v>
      </c>
      <c r="B22">
        <v>49.8855059247788</v>
      </c>
      <c r="C22">
        <v>9.66829347088288</v>
      </c>
      <c r="D22">
        <v>103.116146353181</v>
      </c>
      <c r="E22">
        <v>92.2080834226873</v>
      </c>
      <c r="F22" t="s">
        <v>24</v>
      </c>
      <c r="G22" t="s">
        <v>33</v>
      </c>
      <c r="H22">
        <f t="shared" si="0"/>
        <v>103.12</v>
      </c>
      <c r="I22">
        <f t="shared" si="1"/>
        <v>92.21</v>
      </c>
      <c r="J22">
        <f t="shared" si="2"/>
        <v>9.67</v>
      </c>
      <c r="K22">
        <f t="shared" si="3"/>
        <v>49.89</v>
      </c>
      <c r="L22">
        <f t="shared" si="4"/>
        <v>1.31</v>
      </c>
    </row>
    <row r="23" hidden="1" spans="1:12">
      <c r="A23">
        <v>1.80887193348561</v>
      </c>
      <c r="B23">
        <v>75.7042486100264</v>
      </c>
      <c r="C23">
        <v>12.6020154737588</v>
      </c>
      <c r="D23">
        <v>124.541483926498</v>
      </c>
      <c r="E23">
        <v>95.1000913390233</v>
      </c>
      <c r="F23" t="s">
        <v>26</v>
      </c>
      <c r="G23" t="s">
        <v>33</v>
      </c>
      <c r="H23">
        <f t="shared" si="0"/>
        <v>124.54</v>
      </c>
      <c r="I23">
        <f t="shared" si="1"/>
        <v>95.1</v>
      </c>
      <c r="J23">
        <f t="shared" si="2"/>
        <v>12.6</v>
      </c>
      <c r="K23">
        <f t="shared" si="3"/>
        <v>75.7</v>
      </c>
      <c r="L23">
        <f t="shared" si="4"/>
        <v>1.81</v>
      </c>
    </row>
    <row r="24" hidden="1" spans="1:12">
      <c r="A24">
        <v>1.70217103669873</v>
      </c>
      <c r="B24">
        <v>66.6669086165147</v>
      </c>
      <c r="C24">
        <v>5.65488104601823</v>
      </c>
      <c r="D24">
        <v>145.750137613148</v>
      </c>
      <c r="E24">
        <v>93.5777518163501</v>
      </c>
      <c r="F24" t="s">
        <v>27</v>
      </c>
      <c r="G24" t="s">
        <v>33</v>
      </c>
      <c r="H24">
        <f t="shared" si="0"/>
        <v>145.75</v>
      </c>
      <c r="I24">
        <f t="shared" si="1"/>
        <v>93.58</v>
      </c>
      <c r="J24">
        <f t="shared" si="2"/>
        <v>5.65</v>
      </c>
      <c r="K24">
        <f t="shared" si="3"/>
        <v>66.67</v>
      </c>
      <c r="L24">
        <f t="shared" si="4"/>
        <v>1.7</v>
      </c>
    </row>
    <row r="25" hidden="1" spans="1:12">
      <c r="A25">
        <v>3.18834856420355</v>
      </c>
      <c r="B25">
        <v>87.6755211645884</v>
      </c>
      <c r="C25">
        <v>14.4173738801634</v>
      </c>
      <c r="D25">
        <v>66.6293290143546</v>
      </c>
      <c r="E25">
        <v>93.2245432645935</v>
      </c>
      <c r="F25" t="s">
        <v>28</v>
      </c>
      <c r="G25" t="s">
        <v>33</v>
      </c>
      <c r="H25">
        <f t="shared" si="0"/>
        <v>66.63</v>
      </c>
      <c r="I25">
        <f t="shared" si="1"/>
        <v>93.22</v>
      </c>
      <c r="J25">
        <f t="shared" si="2"/>
        <v>14.42</v>
      </c>
      <c r="K25">
        <f t="shared" si="3"/>
        <v>87.68</v>
      </c>
      <c r="L25">
        <f t="shared" si="4"/>
        <v>3.19</v>
      </c>
    </row>
    <row r="26" hidden="1" spans="1:12">
      <c r="A26">
        <v>5.82046502966982</v>
      </c>
      <c r="B26">
        <v>40.242800415847</v>
      </c>
      <c r="C26">
        <v>15.5685548358977</v>
      </c>
      <c r="D26">
        <v>99.4240773364608</v>
      </c>
      <c r="E26">
        <v>93.4612629627772</v>
      </c>
      <c r="F26" t="s">
        <v>29</v>
      </c>
      <c r="G26" t="s">
        <v>33</v>
      </c>
      <c r="H26">
        <f t="shared" si="0"/>
        <v>99.42</v>
      </c>
      <c r="I26">
        <f t="shared" si="1"/>
        <v>93.46</v>
      </c>
      <c r="J26">
        <f t="shared" si="2"/>
        <v>15.57</v>
      </c>
      <c r="K26">
        <f t="shared" si="3"/>
        <v>40.24</v>
      </c>
      <c r="L26">
        <f t="shared" si="4"/>
        <v>5.82</v>
      </c>
    </row>
    <row r="27" hidden="1" spans="1:12">
      <c r="A27">
        <v>6.8214563251621</v>
      </c>
      <c r="B27">
        <v>72.1676964893815</v>
      </c>
      <c r="C27">
        <v>5.95565952278025</v>
      </c>
      <c r="D27">
        <v>132.171396060072</v>
      </c>
      <c r="E27">
        <v>92.5553437594836</v>
      </c>
      <c r="F27" t="s">
        <v>24</v>
      </c>
      <c r="G27" t="s">
        <v>34</v>
      </c>
      <c r="H27">
        <f t="shared" si="0"/>
        <v>132.17</v>
      </c>
      <c r="I27">
        <f t="shared" si="1"/>
        <v>92.56</v>
      </c>
      <c r="J27">
        <f t="shared" si="2"/>
        <v>5.96</v>
      </c>
      <c r="K27">
        <f t="shared" si="3"/>
        <v>72.17</v>
      </c>
      <c r="L27">
        <f t="shared" si="4"/>
        <v>6.82</v>
      </c>
    </row>
    <row r="28" hidden="1" spans="1:12">
      <c r="A28">
        <v>2.99787555357719</v>
      </c>
      <c r="B28">
        <v>47.6745220745616</v>
      </c>
      <c r="C28">
        <v>16.4402350483251</v>
      </c>
      <c r="D28">
        <v>68.240508997401</v>
      </c>
      <c r="E28">
        <v>93.6419530596252</v>
      </c>
      <c r="F28" t="s">
        <v>26</v>
      </c>
      <c r="G28" t="s">
        <v>34</v>
      </c>
      <c r="H28">
        <f t="shared" si="0"/>
        <v>68.24</v>
      </c>
      <c r="I28">
        <f t="shared" si="1"/>
        <v>93.64</v>
      </c>
      <c r="J28">
        <f t="shared" si="2"/>
        <v>16.44</v>
      </c>
      <c r="K28">
        <f t="shared" si="3"/>
        <v>47.67</v>
      </c>
      <c r="L28">
        <f t="shared" si="4"/>
        <v>3</v>
      </c>
    </row>
    <row r="29" hidden="1" spans="1:12">
      <c r="A29">
        <v>3.87051924496301</v>
      </c>
      <c r="B29">
        <v>28.4196293426054</v>
      </c>
      <c r="C29">
        <v>14.10889370006</v>
      </c>
      <c r="D29">
        <v>98.8274264061868</v>
      </c>
      <c r="E29">
        <v>96.3115238000903</v>
      </c>
      <c r="F29" t="s">
        <v>27</v>
      </c>
      <c r="G29" t="s">
        <v>34</v>
      </c>
      <c r="H29">
        <f t="shared" si="0"/>
        <v>98.83</v>
      </c>
      <c r="I29">
        <f t="shared" si="1"/>
        <v>96.31</v>
      </c>
      <c r="J29">
        <f t="shared" si="2"/>
        <v>14.11</v>
      </c>
      <c r="K29">
        <f t="shared" si="3"/>
        <v>28.42</v>
      </c>
      <c r="L29">
        <f t="shared" si="4"/>
        <v>3.87</v>
      </c>
    </row>
    <row r="30" hidden="1" spans="1:12">
      <c r="A30">
        <v>2.07362468509526</v>
      </c>
      <c r="B30">
        <v>13.5670935766489</v>
      </c>
      <c r="C30">
        <v>16.921785338314</v>
      </c>
      <c r="D30">
        <v>115.358383991911</v>
      </c>
      <c r="E30">
        <v>90.0499565857853</v>
      </c>
      <c r="F30" t="s">
        <v>28</v>
      </c>
      <c r="G30" t="s">
        <v>34</v>
      </c>
      <c r="H30">
        <f t="shared" si="0"/>
        <v>115.36</v>
      </c>
      <c r="I30">
        <f t="shared" si="1"/>
        <v>90.05</v>
      </c>
      <c r="J30">
        <f t="shared" si="2"/>
        <v>16.92</v>
      </c>
      <c r="K30">
        <f t="shared" si="3"/>
        <v>13.57</v>
      </c>
      <c r="L30">
        <f t="shared" si="4"/>
        <v>2.07</v>
      </c>
    </row>
    <row r="31" hidden="1" spans="1:12">
      <c r="A31">
        <v>6.41520693009733</v>
      </c>
      <c r="B31">
        <v>63.7768615673128</v>
      </c>
      <c r="C31">
        <v>13.8174824458535</v>
      </c>
      <c r="D31">
        <v>60.6876751504903</v>
      </c>
      <c r="E31">
        <v>93.4072639191213</v>
      </c>
      <c r="F31" t="s">
        <v>29</v>
      </c>
      <c r="G31" t="s">
        <v>34</v>
      </c>
      <c r="H31">
        <f t="shared" si="0"/>
        <v>60.69</v>
      </c>
      <c r="I31">
        <f t="shared" si="1"/>
        <v>93.41</v>
      </c>
      <c r="J31">
        <f t="shared" si="2"/>
        <v>13.82</v>
      </c>
      <c r="K31">
        <f t="shared" si="3"/>
        <v>63.78</v>
      </c>
      <c r="L31">
        <f t="shared" si="4"/>
        <v>6.42</v>
      </c>
    </row>
    <row r="32" hidden="1" spans="1:12">
      <c r="A32">
        <v>5.58145411041034</v>
      </c>
      <c r="B32">
        <v>94.5982626612041</v>
      </c>
      <c r="C32">
        <v>4.28572450265078</v>
      </c>
      <c r="D32">
        <v>91.8394382675792</v>
      </c>
      <c r="E32">
        <v>98.7443475448662</v>
      </c>
      <c r="F32" t="s">
        <v>24</v>
      </c>
      <c r="G32" t="s">
        <v>35</v>
      </c>
      <c r="H32">
        <f t="shared" si="0"/>
        <v>91.84</v>
      </c>
      <c r="I32">
        <f t="shared" si="1"/>
        <v>98.74</v>
      </c>
      <c r="J32">
        <f t="shared" si="2"/>
        <v>4.29</v>
      </c>
      <c r="K32">
        <f t="shared" si="3"/>
        <v>94.6</v>
      </c>
      <c r="L32">
        <f t="shared" si="4"/>
        <v>5.58</v>
      </c>
    </row>
    <row r="33" hidden="1" spans="1:12">
      <c r="A33">
        <v>2.19316318250467</v>
      </c>
      <c r="B33">
        <v>96.8950756304633</v>
      </c>
      <c r="C33">
        <v>9.98126858228747</v>
      </c>
      <c r="D33">
        <v>116.22538906449</v>
      </c>
      <c r="E33">
        <v>94.1353212622833</v>
      </c>
      <c r="F33" t="s">
        <v>26</v>
      </c>
      <c r="G33" t="s">
        <v>35</v>
      </c>
      <c r="H33">
        <f t="shared" si="0"/>
        <v>116.23</v>
      </c>
      <c r="I33">
        <f t="shared" si="1"/>
        <v>94.14</v>
      </c>
      <c r="J33">
        <f t="shared" si="2"/>
        <v>9.98</v>
      </c>
      <c r="K33">
        <f t="shared" si="3"/>
        <v>96.9</v>
      </c>
      <c r="L33">
        <f t="shared" si="4"/>
        <v>2.19</v>
      </c>
    </row>
    <row r="34" hidden="1" spans="1:12">
      <c r="A34">
        <v>3.1941170072312</v>
      </c>
      <c r="B34">
        <v>85.6259516409987</v>
      </c>
      <c r="C34">
        <v>10.641441434628</v>
      </c>
      <c r="D34">
        <v>148.05532446459</v>
      </c>
      <c r="E34">
        <v>90.2354718666103</v>
      </c>
      <c r="F34" t="s">
        <v>27</v>
      </c>
      <c r="G34" t="s">
        <v>35</v>
      </c>
      <c r="H34">
        <f t="shared" si="0"/>
        <v>148.06</v>
      </c>
      <c r="I34">
        <f t="shared" si="1"/>
        <v>90.24</v>
      </c>
      <c r="J34">
        <f t="shared" si="2"/>
        <v>10.64</v>
      </c>
      <c r="K34">
        <f t="shared" si="3"/>
        <v>85.63</v>
      </c>
      <c r="L34">
        <f t="shared" si="4"/>
        <v>3.19</v>
      </c>
    </row>
    <row r="35" hidden="1" spans="1:12">
      <c r="A35">
        <v>4.57349363108448</v>
      </c>
      <c r="B35">
        <v>93.29893826177</v>
      </c>
      <c r="C35">
        <v>13.9658379760704</v>
      </c>
      <c r="D35">
        <v>65.743754492694</v>
      </c>
      <c r="E35">
        <v>98.5469312078074</v>
      </c>
      <c r="F35" t="s">
        <v>28</v>
      </c>
      <c r="G35" t="s">
        <v>35</v>
      </c>
      <c r="H35">
        <f t="shared" si="0"/>
        <v>65.74</v>
      </c>
      <c r="I35">
        <f t="shared" si="1"/>
        <v>98.55</v>
      </c>
      <c r="J35">
        <f t="shared" si="2"/>
        <v>13.97</v>
      </c>
      <c r="K35">
        <f t="shared" si="3"/>
        <v>93.3</v>
      </c>
      <c r="L35">
        <f t="shared" si="4"/>
        <v>4.57</v>
      </c>
    </row>
    <row r="36" hidden="1" spans="1:12">
      <c r="A36">
        <v>1.24056560552356</v>
      </c>
      <c r="B36">
        <v>62.5737416993349</v>
      </c>
      <c r="C36">
        <v>2.73033579152179</v>
      </c>
      <c r="D36">
        <v>82.8630317983334</v>
      </c>
      <c r="E36">
        <v>97.3769659841862</v>
      </c>
      <c r="F36" t="s">
        <v>29</v>
      </c>
      <c r="G36" t="s">
        <v>35</v>
      </c>
      <c r="H36">
        <f t="shared" si="0"/>
        <v>82.86</v>
      </c>
      <c r="I36">
        <f t="shared" si="1"/>
        <v>97.38</v>
      </c>
      <c r="J36">
        <f t="shared" si="2"/>
        <v>2.73</v>
      </c>
      <c r="K36">
        <f t="shared" si="3"/>
        <v>62.57</v>
      </c>
      <c r="L36">
        <f t="shared" si="4"/>
        <v>1.24</v>
      </c>
    </row>
    <row r="37" spans="1:12">
      <c r="A37">
        <v>5.94776789899184</v>
      </c>
      <c r="B37">
        <v>46.7420064753327</v>
      </c>
      <c r="C37">
        <v>1.07809921631391</v>
      </c>
      <c r="D37">
        <v>122.246046964477</v>
      </c>
      <c r="E37">
        <v>91.2086880525626</v>
      </c>
      <c r="F37" t="s">
        <v>24</v>
      </c>
      <c r="G37" t="s">
        <v>36</v>
      </c>
      <c r="H37">
        <f t="shared" si="0"/>
        <v>122.25</v>
      </c>
      <c r="I37">
        <f t="shared" si="1"/>
        <v>91.21</v>
      </c>
      <c r="J37">
        <f t="shared" si="2"/>
        <v>1.08</v>
      </c>
      <c r="K37">
        <f t="shared" si="3"/>
        <v>46.74</v>
      </c>
      <c r="L37">
        <f t="shared" si="4"/>
        <v>5.95</v>
      </c>
    </row>
    <row r="38" spans="1:12">
      <c r="A38">
        <v>4.84162829645349</v>
      </c>
      <c r="B38">
        <v>97.2909274388847</v>
      </c>
      <c r="C38">
        <v>10.8264361131517</v>
      </c>
      <c r="D38">
        <v>112.005878991953</v>
      </c>
      <c r="E38">
        <v>90.8034573760845</v>
      </c>
      <c r="F38" t="s">
        <v>26</v>
      </c>
      <c r="G38" t="s">
        <v>36</v>
      </c>
      <c r="H38">
        <f t="shared" si="0"/>
        <v>112.01</v>
      </c>
      <c r="I38">
        <f t="shared" si="1"/>
        <v>90.8</v>
      </c>
      <c r="J38">
        <f t="shared" si="2"/>
        <v>10.83</v>
      </c>
      <c r="K38">
        <f t="shared" si="3"/>
        <v>97.29</v>
      </c>
      <c r="L38">
        <f t="shared" si="4"/>
        <v>4.84</v>
      </c>
    </row>
    <row r="39" spans="1:12">
      <c r="A39">
        <v>1.11482206457702</v>
      </c>
      <c r="B39">
        <v>16.42332031296</v>
      </c>
      <c r="C39">
        <v>2.49053684065146</v>
      </c>
      <c r="D39">
        <v>127.150188083125</v>
      </c>
      <c r="E39">
        <v>94.0056998511837</v>
      </c>
      <c r="F39" t="s">
        <v>27</v>
      </c>
      <c r="G39" t="s">
        <v>36</v>
      </c>
      <c r="H39">
        <f t="shared" si="0"/>
        <v>127.15</v>
      </c>
      <c r="I39">
        <f t="shared" si="1"/>
        <v>94.01</v>
      </c>
      <c r="J39">
        <f t="shared" si="2"/>
        <v>2.49</v>
      </c>
      <c r="K39">
        <f t="shared" si="3"/>
        <v>16.42</v>
      </c>
      <c r="L39">
        <f t="shared" si="4"/>
        <v>1.11</v>
      </c>
    </row>
    <row r="40" spans="1:12">
      <c r="A40">
        <v>5.8362302301548</v>
      </c>
      <c r="B40">
        <v>71.8605102673113</v>
      </c>
      <c r="C40">
        <v>9.85385519176159</v>
      </c>
      <c r="D40">
        <v>122.487461608804</v>
      </c>
      <c r="E40">
        <v>96.0138309967659</v>
      </c>
      <c r="F40" t="s">
        <v>28</v>
      </c>
      <c r="G40" t="s">
        <v>36</v>
      </c>
      <c r="H40">
        <f t="shared" si="0"/>
        <v>122.49</v>
      </c>
      <c r="I40">
        <f t="shared" si="1"/>
        <v>96.01</v>
      </c>
      <c r="J40">
        <f t="shared" si="2"/>
        <v>9.85</v>
      </c>
      <c r="K40">
        <f t="shared" si="3"/>
        <v>71.86</v>
      </c>
      <c r="L40">
        <f t="shared" si="4"/>
        <v>5.84</v>
      </c>
    </row>
    <row r="41" spans="1:12">
      <c r="A41">
        <v>3.42935591191077</v>
      </c>
      <c r="B41">
        <v>52.3902230719094</v>
      </c>
      <c r="C41">
        <v>1.47150330600336</v>
      </c>
      <c r="D41">
        <v>98.7728411128733</v>
      </c>
      <c r="E41">
        <v>90.2146842115473</v>
      </c>
      <c r="F41" t="s">
        <v>29</v>
      </c>
      <c r="G41" t="s">
        <v>36</v>
      </c>
      <c r="H41">
        <f t="shared" si="0"/>
        <v>98.77</v>
      </c>
      <c r="I41">
        <f t="shared" si="1"/>
        <v>90.21</v>
      </c>
      <c r="J41">
        <f t="shared" si="2"/>
        <v>1.47</v>
      </c>
      <c r="K41">
        <f t="shared" si="3"/>
        <v>52.39</v>
      </c>
      <c r="L41">
        <f t="shared" si="4"/>
        <v>3.43</v>
      </c>
    </row>
  </sheetData>
  <autoFilter xmlns:etc="http://www.wps.cn/officeDocument/2017/etCustomData" ref="F2:L41" etc:filterBottomFollowUsedRange="0">
    <filterColumn colId="1">
      <filters>
        <filter val="Supplier 8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role_range_vector</vt:lpstr>
      <vt:lpstr>ability_limit</vt:lpstr>
      <vt:lpstr>uniform_data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ziz</cp:lastModifiedBy>
  <dcterms:created xsi:type="dcterms:W3CDTF">2025-11-16T13:11:00Z</dcterms:created>
  <dcterms:modified xsi:type="dcterms:W3CDTF">2025-11-16T13:43:38Z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E9A3B3A6829B4D94AE567B9F24EC1FC2_12</vt:lpwstr>
  </property>
  <property fmtid="{D5CDD505-2E9C-101B-9397-08002B2CF9AE}" pid="3" name="KSOProductBuildVer">
    <vt:lpwstr>2052-12.1.0.23125</vt:lpwstr>
  </property>
</Properties>
</file>